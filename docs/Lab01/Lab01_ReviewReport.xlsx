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Phase Defects" sheetId="1" r:id="rId5"/>
    <sheet state="visible" name="Architect. Design Phase Defects" sheetId="2" r:id="rId6"/>
    <sheet state="visible" name="Coding Phase Defects" sheetId="3" r:id="rId7"/>
    <sheet state="visible" name="Tool-basedCodeAnalysis" sheetId="4" r:id="rId8"/>
  </sheets>
  <definedNames/>
  <calcPr/>
</workbook>
</file>

<file path=xl/sharedStrings.xml><?xml version="1.0" encoding="utf-8"?>
<sst xmlns="http://schemas.openxmlformats.org/spreadsheetml/2006/main" count="158" uniqueCount="97">
  <si>
    <t>do not print this form</t>
  </si>
  <si>
    <t>Echipa</t>
  </si>
  <si>
    <t>Review Form. Requirements Defects</t>
  </si>
  <si>
    <t>Numele si prenumele</t>
  </si>
  <si>
    <t>Grupa</t>
  </si>
  <si>
    <t>Student 1:</t>
  </si>
  <si>
    <t>Secrier Cosmin</t>
  </si>
  <si>
    <t>Document  Title:</t>
  </si>
  <si>
    <t>Requirements Document</t>
  </si>
  <si>
    <t>Student 2:</t>
  </si>
  <si>
    <t>Săsăran Aurelian Noris</t>
  </si>
  <si>
    <t>Author Name:</t>
  </si>
  <si>
    <t>Firicescu George</t>
  </si>
  <si>
    <t>Student 3:</t>
  </si>
  <si>
    <t>Scutariu Edward</t>
  </si>
  <si>
    <t>Reviewer Name:</t>
  </si>
  <si>
    <t>Review date:</t>
  </si>
  <si>
    <t>Crt. No.</t>
  </si>
  <si>
    <t>Checked Item</t>
  </si>
  <si>
    <t>Doc. page/line</t>
  </si>
  <si>
    <t>Comments/ improvements</t>
  </si>
  <si>
    <t>R02</t>
  </si>
  <si>
    <t>Punctele 1), 7) si 8)</t>
  </si>
  <si>
    <t>Nu se mentioneaza nicaieri ca produsele trebuie sa aiba un pret, desi la punctele 7 si 8 
se cere generarea bonului fiscal si calcularea unui total al zilei, lucru ce e imposibil de realizat.
IMPROVEMENT: adaugarea atributului PRET la definirea produselor</t>
  </si>
  <si>
    <t>R05</t>
  </si>
  <si>
    <t>Punctul 5)</t>
  </si>
  <si>
    <t>Nu se specifica comportamentul aplicatiei in cazul in care sotcul este insuficient pentru 
prepararea retetei(ex: comanda se blocheaza, se respinge sau se afiseaza o eroare, etc).
IMPROVEMENT: explicitarea actiunii in caz de stoc insuficient</t>
  </si>
  <si>
    <t>Punctul 8)</t>
  </si>
  <si>
    <t>Avem cerinta ca "La finalul zilei se salveaza informatiile si se calculeaza totatul" dar nu este clar 
definit cum se declanseaza aceasta actiune(ex: este automat pe baza orei locale, 
avem un buton specific de "inchidere zi", etc).
IMPROVEMENT: clarificarea modului de declansare a inchiderii zilei</t>
  </si>
  <si>
    <t>Effort to review document (hours):</t>
  </si>
  <si>
    <t>0.5</t>
  </si>
  <si>
    <t>Review Form. Architectural Design Defects</t>
  </si>
  <si>
    <t>Architectural Design Document</t>
  </si>
  <si>
    <t xml:space="preserve">Author Name: </t>
  </si>
  <si>
    <t>Georgescu Anca</t>
  </si>
  <si>
    <t xml:space="preserve">Review date: </t>
  </si>
  <si>
    <t>A01</t>
  </si>
  <si>
    <t>☑</t>
  </si>
  <si>
    <t>A02</t>
  </si>
  <si>
    <t xml:space="preserve">Inconsistență la nivel de naming convention: 
entitățile sunt în română, în timp ce infrastructura
 și serviciile sunt în engleză si Există o încălcare a 
arhitecturii stratificate: DrinkShopController accesează 
direct entitățile din Domain (ex: Product, Order), ocolind 
stratul de Service. Acest lucru creează o cuplare
 strânsă care îngreunează mentenanța. </t>
  </si>
  <si>
    <t>A03</t>
  </si>
  <si>
    <t>A04</t>
  </si>
  <si>
    <t>A05</t>
  </si>
  <si>
    <t>Exista doar ValidationException. Nu se vede o strategie completa de gestionare a erorilor</t>
  </si>
  <si>
    <t>A06</t>
  </si>
  <si>
    <t>A07</t>
  </si>
  <si>
    <t>Numele claselor hibride (ex: IngredientReteta) 
pot crea confuzie pentru un dezvoltator care 
nu cunoaște limba română, încălcând 
standardele de codare internaționale.</t>
  </si>
  <si>
    <t>A08</t>
  </si>
  <si>
    <t>Design de tip "God Object" pentru DrinkShopService (prea multe responsabilități într-un singur loc).</t>
  </si>
  <si>
    <t>A09</t>
  </si>
  <si>
    <t>Există o inconsistență lingvistică majoră (amestec de română și engleză) și redundanță în denumirea rolurilor, acestea repetând numele clasei fără a clarifica funcția specifică a relației.</t>
  </si>
  <si>
    <t>A10</t>
  </si>
  <si>
    <t>0.50</t>
  </si>
  <si>
    <t>Echipa AP03</t>
  </si>
  <si>
    <t>Review Form. Coding Defects</t>
  </si>
  <si>
    <t>Coding Document</t>
  </si>
  <si>
    <t>Cosmin-Daniel</t>
  </si>
  <si>
    <t>C01</t>
  </si>
  <si>
    <t>RetetaValidator.java line 18–22</t>
  </si>
  <si>
    <t>The stream over ingrediente executes even when the list is null — add an early return after the null check to prevent NPE.</t>
  </si>
  <si>
    <t>C04</t>
  </si>
  <si>
    <t>FileStocRepository.java line 20</t>
  </si>
  <si>
    <t>Uses ";" as delimiter while all other repositories use ",". Standardize to a single delimiter across all file repositories to avoid parsing errors.</t>
  </si>
  <si>
    <t>C08</t>
  </si>
  <si>
    <t>RetetaValidator.java line 26</t>
  </si>
  <si>
    <t>Missing "\n" at the end of the ingredient error string — multiple errors concatenate without line breaks making the ValidationException message unreadable. Append "\n" after each error.</t>
  </si>
  <si>
    <t>C12</t>
  </si>
  <si>
    <t>Stoc.java lines 7-8</t>
  </si>
  <si>
    <t>Fields are double but constructor parameters are int, causing implicit widening.</t>
  </si>
  <si>
    <t>Tool-based Code Analysis</t>
  </si>
  <si>
    <t>Tool used:</t>
  </si>
  <si>
    <t>SonicQube</t>
  </si>
  <si>
    <t>File, Line</t>
  </si>
  <si>
    <t>Issue</t>
  </si>
  <si>
    <t>Before</t>
  </si>
  <si>
    <t>After/Argument</t>
  </si>
  <si>
    <t>DrinkShopController ln 26</t>
  </si>
  <si>
    <t>Multiple variables should not be declared on the same line</t>
  </si>
  <si>
    <t>txtProdName and txtProdPrice are declared on the same line</t>
  </si>
  <si>
    <t>FileAbstractrepository ln12</t>
  </si>
  <si>
    <t>Constructors of an "abstract" class should not be declared "public"</t>
  </si>
  <si>
    <t>The Constructor was declared public</t>
  </si>
  <si>
    <t>The Constructor is declared protected</t>
  </si>
  <si>
    <t>Order.java ln62</t>
  </si>
  <si>
    <t>Methods should not have identical implementations</t>
  </si>
  <si>
    <t>There are 2 methods that do the exact same thing</t>
  </si>
  <si>
    <t>Removed one of them</t>
  </si>
  <si>
    <t>ReceiptGenerator ln9</t>
  </si>
  <si>
    <t>Utility classes should not have public constructors</t>
  </si>
  <si>
    <t>There was a public constructor</t>
  </si>
  <si>
    <t>The Constructor is now declared private</t>
  </si>
  <si>
    <t>CsvExport ln 14</t>
  </si>
  <si>
    <t>AbstractRepository n 20</t>
  </si>
  <si>
    <t>Remove unnecesarry cast to List&lt;&gt;</t>
  </si>
  <si>
    <t>There was an unnecesarry cast to List&lt;&gt;</t>
  </si>
  <si>
    <t>Removed the cast</t>
  </si>
  <si>
    <t>Effort to perform tool-based code analysis (hours):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</si>
</sst>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4">
    <font>
      <sz val="11.0"/>
      <color theme="1"/>
      <name val="Calibri"/>
      <scheme val="minor"/>
    </font>
    <font>
      <b/>
      <sz val="12.0"/>
      <color rgb="FF000080"/>
      <name val="Calibri"/>
    </font>
    <font>
      <i/>
      <sz val="9.0"/>
      <color rgb="FFC00000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i/>
      <sz val="11.0"/>
      <color rgb="FF000000"/>
      <name val="Calibri"/>
    </font>
    <font>
      <i/>
      <sz val="11.0"/>
      <color rgb="FF000000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4DFEC"/>
        <bgColor rgb="FFE4DFEC"/>
      </patternFill>
    </fill>
    <fill>
      <patternFill patternType="solid">
        <fgColor rgb="FFFDE9D9"/>
        <bgColor rgb="FFFDE9D9"/>
      </patternFill>
    </fill>
    <fill>
      <patternFill patternType="solid">
        <fgColor rgb="FFC6D9F0"/>
        <bgColor rgb="FFC6D9F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/>
    </xf>
    <xf borderId="4" fillId="0" fontId="6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horizontal="right" readingOrder="0" shrinkToFit="0" vertical="bottom" wrapText="0"/>
    </xf>
    <xf borderId="4" fillId="2" fontId="7" numFmtId="0" xfId="0" applyAlignment="1" applyBorder="1" applyFill="1" applyFont="1">
      <alignment readingOrder="0" shrinkToFit="0" vertical="bottom" wrapText="0"/>
    </xf>
    <xf borderId="2" fillId="2" fontId="7" numFmtId="0" xfId="0" applyAlignment="1" applyBorder="1" applyFont="1">
      <alignment horizontal="right" readingOrder="0" shrinkToFit="0" vertical="bottom" wrapText="0"/>
    </xf>
    <xf borderId="5" fillId="2" fontId="7" numFmtId="0" xfId="0" applyAlignment="1" applyBorder="1" applyFont="1">
      <alignment readingOrder="0" shrinkToFit="0" vertical="bottom" wrapText="0"/>
    </xf>
    <xf borderId="2" fillId="2" fontId="8" numFmtId="0" xfId="0" applyAlignment="1" applyBorder="1" applyFont="1">
      <alignment horizontal="right" readingOrder="0" shrinkToFit="0" vertical="bottom" wrapText="0"/>
    </xf>
    <xf borderId="0" fillId="0" fontId="5" numFmtId="0" xfId="0" applyFont="1"/>
    <xf borderId="5" fillId="0" fontId="7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2" fillId="0" fontId="7" numFmtId="164" xfId="0" applyAlignment="1" applyBorder="1" applyFont="1" applyNumberFormat="1">
      <alignment horizontal="right" readingOrder="0" shrinkToFit="0" vertical="bottom" wrapText="0"/>
    </xf>
    <xf borderId="4" fillId="0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right" readingOrder="0" shrinkToFit="0" vertical="bottom" wrapText="0"/>
    </xf>
    <xf borderId="6" fillId="0" fontId="9" numFmtId="0" xfId="0" applyAlignment="1" applyBorder="1" applyFont="1">
      <alignment readingOrder="0" shrinkToFit="0" vertical="bottom" wrapText="0"/>
    </xf>
    <xf borderId="6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vertical="bottom"/>
    </xf>
    <xf borderId="6" fillId="0" fontId="6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3" fontId="5" numFmtId="0" xfId="0" applyBorder="1" applyFill="1" applyFont="1"/>
    <xf borderId="1" fillId="3" fontId="5" numFmtId="0" xfId="0" applyAlignment="1" applyBorder="1" applyFont="1">
      <alignment horizontal="right"/>
    </xf>
    <xf borderId="1" fillId="3" fontId="10" numFmtId="0" xfId="0" applyAlignment="1" applyBorder="1" applyFont="1">
      <alignment horizontal="right"/>
    </xf>
    <xf borderId="4" fillId="0" fontId="5" numFmtId="0" xfId="0" applyBorder="1" applyFont="1"/>
    <xf borderId="1" fillId="0" fontId="5" numFmtId="0" xfId="0" applyAlignment="1" applyBorder="1" applyFont="1">
      <alignment horizontal="right" readingOrder="0"/>
    </xf>
    <xf borderId="1" fillId="0" fontId="5" numFmtId="164" xfId="0" applyAlignment="1" applyBorder="1" applyFont="1" applyNumberFormat="1">
      <alignment horizontal="right" readingOrder="0"/>
    </xf>
    <xf borderId="4" fillId="0" fontId="5" numFmtId="0" xfId="0" applyAlignment="1" applyBorder="1" applyFont="1">
      <alignment horizontal="center" vertical="center"/>
    </xf>
    <xf borderId="4" fillId="0" fontId="11" numFmtId="0" xfId="0" applyAlignment="1" applyBorder="1" applyFont="1">
      <alignment readingOrder="0"/>
    </xf>
    <xf borderId="4" fillId="0" fontId="11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shrinkToFit="0" wrapText="1"/>
    </xf>
    <xf borderId="0" fillId="0" fontId="12" numFmtId="0" xfId="0" applyAlignment="1" applyFont="1">
      <alignment readingOrder="0"/>
    </xf>
    <xf borderId="4" fillId="0" fontId="11" numFmtId="0" xfId="0" applyBorder="1" applyFont="1"/>
    <xf borderId="0" fillId="0" fontId="13" numFmtId="0" xfId="0" applyAlignment="1" applyFont="1">
      <alignment readingOrder="0"/>
    </xf>
    <xf borderId="1" fillId="0" fontId="5" numFmtId="0" xfId="0" applyBorder="1" applyFont="1"/>
    <xf borderId="2" fillId="0" fontId="5" numFmtId="0" xfId="0" applyBorder="1" applyFont="1"/>
    <xf borderId="1" fillId="0" fontId="3" numFmtId="0" xfId="0" applyAlignment="1" applyBorder="1" applyFont="1">
      <alignment horizontal="center" readingOrder="0"/>
    </xf>
    <xf borderId="4" fillId="4" fontId="5" numFmtId="0" xfId="0" applyBorder="1" applyFill="1" applyFont="1"/>
    <xf borderId="1" fillId="4" fontId="5" numFmtId="0" xfId="0" applyAlignment="1" applyBorder="1" applyFont="1">
      <alignment horizontal="right"/>
    </xf>
    <xf borderId="1" fillId="4" fontId="10" numFmtId="0" xfId="0" applyAlignment="1" applyBorder="1" applyFont="1">
      <alignment horizontal="right" readingOrder="0"/>
    </xf>
    <xf borderId="0" fillId="0" fontId="5" numFmtId="0" xfId="0" applyAlignment="1" applyFont="1">
      <alignment horizontal="center"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4" fillId="0" fontId="11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4" fillId="0" fontId="11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horizontal="right" readingOrder="0"/>
    </xf>
    <xf borderId="7" fillId="0" fontId="5" numFmtId="0" xfId="0" applyAlignment="1" applyBorder="1" applyFont="1">
      <alignment horizontal="left"/>
    </xf>
    <xf borderId="0" fillId="0" fontId="1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ding Phase Def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E30" displayName="Tabelul_1" name="Tabelul_1" id="1">
  <tableColumns count="4">
    <tableColumn name="Crt. No." id="1"/>
    <tableColumn name="Checked Item" id="2"/>
    <tableColumn name="Doc. page/line" id="3"/>
    <tableColumn name="Comments/ improvements" id="4"/>
  </tableColumns>
  <tableStyleInfo name="Coding Phase Def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6.29"/>
    <col customWidth="1" min="5" max="5" width="81.71"/>
    <col customWidth="1" min="6" max="8" width="8.86"/>
    <col customWidth="1" min="9" max="9" width="21.0"/>
    <col customWidth="1" min="10" max="10" width="14.43"/>
    <col customWidth="1" min="11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2</v>
      </c>
      <c r="F2" s="3"/>
      <c r="G2" s="3"/>
      <c r="H2" s="8"/>
      <c r="I2" s="9" t="s">
        <v>3</v>
      </c>
      <c r="J2" s="9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10" t="s">
        <v>5</v>
      </c>
      <c r="I3" s="11" t="s">
        <v>6</v>
      </c>
      <c r="J3" s="12">
        <v>236.0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13" t="s">
        <v>7</v>
      </c>
      <c r="D4" s="14" t="s">
        <v>8</v>
      </c>
      <c r="E4" s="6"/>
      <c r="F4" s="3"/>
      <c r="G4" s="3"/>
      <c r="H4" s="10" t="s">
        <v>9</v>
      </c>
      <c r="I4" s="11" t="s">
        <v>10</v>
      </c>
      <c r="J4" s="12">
        <v>236.0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15" t="s">
        <v>11</v>
      </c>
      <c r="D5" s="16" t="s">
        <v>12</v>
      </c>
      <c r="E5" s="6"/>
      <c r="F5" s="3"/>
      <c r="G5" s="3"/>
      <c r="H5" s="10" t="s">
        <v>13</v>
      </c>
      <c r="I5" s="11" t="s">
        <v>14</v>
      </c>
      <c r="J5" s="12">
        <v>236.0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7"/>
      <c r="C6" s="18" t="s">
        <v>15</v>
      </c>
      <c r="D6" s="19" t="s">
        <v>6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8" t="s">
        <v>16</v>
      </c>
      <c r="D7" s="20">
        <v>46092.0</v>
      </c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1" t="s">
        <v>17</v>
      </c>
      <c r="C9" s="22" t="s">
        <v>18</v>
      </c>
      <c r="D9" s="22" t="s">
        <v>19</v>
      </c>
      <c r="E9" s="23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24">
        <v>1.0</v>
      </c>
      <c r="C10" s="25" t="s">
        <v>21</v>
      </c>
      <c r="D10" s="25" t="s">
        <v>22</v>
      </c>
      <c r="E10" s="26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24">
        <v>2.0</v>
      </c>
      <c r="C11" s="25" t="s">
        <v>24</v>
      </c>
      <c r="D11" s="25" t="s">
        <v>25</v>
      </c>
      <c r="E11" s="26" t="s">
        <v>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24">
        <v>3.0</v>
      </c>
      <c r="C12" s="25" t="s">
        <v>24</v>
      </c>
      <c r="D12" s="25" t="s">
        <v>27</v>
      </c>
      <c r="E12" s="26" t="s">
        <v>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24">
        <v>4.0</v>
      </c>
      <c r="C13" s="27"/>
      <c r="D13" s="27"/>
      <c r="E13" s="2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24">
        <v>5.0</v>
      </c>
      <c r="C14" s="27"/>
      <c r="D14" s="27"/>
      <c r="E14" s="2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24">
        <v>6.0</v>
      </c>
      <c r="C15" s="27"/>
      <c r="D15" s="27"/>
      <c r="E15" s="2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24">
        <v>7.0</v>
      </c>
      <c r="C16" s="27"/>
      <c r="D16" s="27"/>
      <c r="E16" s="2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24">
        <v>8.0</v>
      </c>
      <c r="C17" s="27"/>
      <c r="D17" s="27"/>
      <c r="E17" s="2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24">
        <v>9.0</v>
      </c>
      <c r="C18" s="29"/>
      <c r="D18" s="29"/>
      <c r="E18" s="30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24">
        <v>10.0</v>
      </c>
      <c r="C19" s="29"/>
      <c r="D19" s="29"/>
      <c r="E19" s="3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24">
        <v>11.0</v>
      </c>
      <c r="C20" s="29"/>
      <c r="D20" s="29"/>
      <c r="E20" s="3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24">
        <v>12.0</v>
      </c>
      <c r="C21" s="29"/>
      <c r="D21" s="29"/>
      <c r="E21" s="3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24">
        <v>13.0</v>
      </c>
      <c r="C22" s="29"/>
      <c r="D22" s="29"/>
      <c r="E22" s="3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24">
        <v>14.0</v>
      </c>
      <c r="C23" s="29"/>
      <c r="D23" s="29"/>
      <c r="E23" s="3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24">
        <v>15.0</v>
      </c>
      <c r="C24" s="29"/>
      <c r="D24" s="29"/>
      <c r="E24" s="3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24">
        <v>16.0</v>
      </c>
      <c r="C25" s="29"/>
      <c r="D25" s="29"/>
      <c r="E25" s="3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1"/>
      <c r="C26" s="31"/>
      <c r="D26" s="31"/>
      <c r="E26" s="3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1"/>
      <c r="C27" s="32" t="s">
        <v>29</v>
      </c>
      <c r="D27" s="5"/>
      <c r="E27" s="33" t="s">
        <v>30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H1:J1"/>
    <mergeCell ref="B2:E2"/>
    <mergeCell ref="D4:E4"/>
    <mergeCell ref="D5:E5"/>
    <mergeCell ref="D6:E6"/>
    <mergeCell ref="D7:E7"/>
    <mergeCell ref="C27:D2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6.29"/>
    <col customWidth="1" min="5" max="5" width="41.43"/>
    <col customWidth="1" min="6" max="8" width="8.86"/>
    <col customWidth="1" min="9" max="9" width="22.14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31</v>
      </c>
      <c r="F2" s="3"/>
      <c r="G2" s="3"/>
      <c r="H2" s="34"/>
      <c r="I2" s="34" t="s">
        <v>3</v>
      </c>
      <c r="J2" s="34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34" t="s">
        <v>5</v>
      </c>
      <c r="I3" s="35" t="s">
        <v>14</v>
      </c>
      <c r="J3" s="35">
        <v>236.0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36" t="s">
        <v>7</v>
      </c>
      <c r="D4" s="37" t="s">
        <v>32</v>
      </c>
      <c r="E4" s="6"/>
      <c r="F4" s="3"/>
      <c r="G4" s="3"/>
      <c r="H4" s="34" t="s">
        <v>9</v>
      </c>
      <c r="I4" s="35" t="s">
        <v>10</v>
      </c>
      <c r="J4" s="35">
        <v>236.0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6" t="s">
        <v>33</v>
      </c>
      <c r="D5" s="38" t="s">
        <v>34</v>
      </c>
      <c r="E5" s="6"/>
      <c r="F5" s="3"/>
      <c r="G5" s="3"/>
      <c r="H5" s="34" t="s">
        <v>13</v>
      </c>
      <c r="I5" s="35" t="s">
        <v>14</v>
      </c>
      <c r="J5" s="35">
        <v>236.0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7"/>
      <c r="C6" s="39" t="s">
        <v>15</v>
      </c>
      <c r="D6" s="40" t="s">
        <v>14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9" t="s">
        <v>35</v>
      </c>
      <c r="D7" s="41">
        <v>46093.0</v>
      </c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42" t="s">
        <v>17</v>
      </c>
      <c r="C9" s="42" t="s">
        <v>18</v>
      </c>
      <c r="D9" s="42" t="s">
        <v>19</v>
      </c>
      <c r="E9" s="42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4">
        <v>1.0</v>
      </c>
      <c r="C10" s="43" t="s">
        <v>36</v>
      </c>
      <c r="D10" s="44"/>
      <c r="E10" s="45" t="s">
        <v>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4">
        <f t="shared" ref="B11:B26" si="1">B10+1</f>
        <v>2</v>
      </c>
      <c r="C11" s="43" t="s">
        <v>38</v>
      </c>
      <c r="D11" s="44"/>
      <c r="E11" s="46" t="s">
        <v>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4">
        <f t="shared" si="1"/>
        <v>3</v>
      </c>
      <c r="C12" s="43" t="s">
        <v>40</v>
      </c>
      <c r="D12" s="47"/>
      <c r="E12" s="45" t="s">
        <v>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4">
        <f t="shared" si="1"/>
        <v>4</v>
      </c>
      <c r="C13" s="43" t="s">
        <v>41</v>
      </c>
      <c r="D13" s="47"/>
      <c r="E13" s="45" t="s">
        <v>37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4">
        <f t="shared" si="1"/>
        <v>5</v>
      </c>
      <c r="C14" s="43" t="s">
        <v>42</v>
      </c>
      <c r="D14" s="44"/>
      <c r="E14" s="45" t="s">
        <v>43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4">
        <f t="shared" si="1"/>
        <v>6</v>
      </c>
      <c r="C15" s="43" t="s">
        <v>44</v>
      </c>
      <c r="D15" s="47"/>
      <c r="E15" s="45" t="s">
        <v>37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4">
        <f t="shared" si="1"/>
        <v>7</v>
      </c>
      <c r="C16" s="43" t="s">
        <v>45</v>
      </c>
      <c r="D16" s="44"/>
      <c r="E16" s="48" t="s">
        <v>46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4">
        <f t="shared" si="1"/>
        <v>8</v>
      </c>
      <c r="C17" s="43" t="s">
        <v>47</v>
      </c>
      <c r="D17" s="44"/>
      <c r="E17" s="45" t="s">
        <v>48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4">
        <f t="shared" si="1"/>
        <v>9</v>
      </c>
      <c r="C18" s="43" t="s">
        <v>49</v>
      </c>
      <c r="D18" s="47"/>
      <c r="E18" s="45" t="s">
        <v>50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4">
        <f t="shared" si="1"/>
        <v>10</v>
      </c>
      <c r="C19" s="43" t="s">
        <v>51</v>
      </c>
      <c r="D19" s="44"/>
      <c r="E19" s="45" t="s">
        <v>37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4">
        <f t="shared" si="1"/>
        <v>11</v>
      </c>
      <c r="C20" s="47"/>
      <c r="D20" s="47"/>
      <c r="E20" s="4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4">
        <f t="shared" si="1"/>
        <v>12</v>
      </c>
      <c r="C21" s="47"/>
      <c r="D21" s="47"/>
      <c r="E21" s="4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4">
        <f t="shared" si="1"/>
        <v>13</v>
      </c>
      <c r="C22" s="47"/>
      <c r="D22" s="47"/>
      <c r="E22" s="4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4">
        <f t="shared" si="1"/>
        <v>14</v>
      </c>
      <c r="C23" s="47"/>
      <c r="D23" s="47"/>
      <c r="E23" s="4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4">
        <f t="shared" si="1"/>
        <v>15</v>
      </c>
      <c r="C24" s="47"/>
      <c r="D24" s="47"/>
      <c r="E24" s="4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4">
        <f t="shared" si="1"/>
        <v>16</v>
      </c>
      <c r="C25" s="47"/>
      <c r="D25" s="47"/>
      <c r="E25" s="4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4">
        <f t="shared" si="1"/>
        <v>17</v>
      </c>
      <c r="C26" s="47"/>
      <c r="D26" s="47"/>
      <c r="E26" s="4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49" t="s">
        <v>29</v>
      </c>
      <c r="D28" s="50"/>
      <c r="E28" s="43" t="s">
        <v>52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3.0"/>
    <col customWidth="1" min="3" max="3" width="18.0"/>
    <col customWidth="1" min="4" max="4" width="19.0"/>
    <col customWidth="1" min="5" max="5" width="43.0"/>
    <col customWidth="1" min="6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51" t="s">
        <v>53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54</v>
      </c>
      <c r="F2" s="3"/>
      <c r="G2" s="3"/>
      <c r="H2" s="34"/>
      <c r="I2" s="34" t="s">
        <v>3</v>
      </c>
      <c r="J2" s="34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34" t="s">
        <v>5</v>
      </c>
      <c r="I3" s="35" t="s">
        <v>10</v>
      </c>
      <c r="J3" s="35">
        <v>236.0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52" t="s">
        <v>7</v>
      </c>
      <c r="D4" s="53" t="s">
        <v>55</v>
      </c>
      <c r="E4" s="6"/>
      <c r="F4" s="3"/>
      <c r="G4" s="3"/>
      <c r="H4" s="34" t="s">
        <v>9</v>
      </c>
      <c r="I4" s="35" t="s">
        <v>14</v>
      </c>
      <c r="J4" s="35">
        <v>236.0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52" t="s">
        <v>11</v>
      </c>
      <c r="D5" s="54" t="s">
        <v>56</v>
      </c>
      <c r="E5" s="6"/>
      <c r="F5" s="3"/>
      <c r="G5" s="3"/>
      <c r="H5" s="34" t="s">
        <v>13</v>
      </c>
      <c r="I5" s="35" t="s">
        <v>6</v>
      </c>
      <c r="J5" s="35">
        <v>236.0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7"/>
      <c r="C6" s="39" t="s">
        <v>15</v>
      </c>
      <c r="D6" s="40" t="s">
        <v>10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9" t="s">
        <v>35</v>
      </c>
      <c r="D7" s="41">
        <v>46092.0</v>
      </c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55" t="s">
        <v>17</v>
      </c>
      <c r="C9" s="55" t="s">
        <v>18</v>
      </c>
      <c r="D9" s="55" t="s">
        <v>19</v>
      </c>
      <c r="E9" s="55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56">
        <v>1.0</v>
      </c>
      <c r="C10" s="57" t="s">
        <v>57</v>
      </c>
      <c r="D10" s="58" t="s">
        <v>58</v>
      </c>
      <c r="E10" s="59" t="s">
        <v>59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56">
        <f t="shared" ref="B11:B30" si="1">B10+1</f>
        <v>2</v>
      </c>
      <c r="C11" s="57" t="s">
        <v>60</v>
      </c>
      <c r="D11" s="59" t="s">
        <v>61</v>
      </c>
      <c r="E11" s="59" t="s">
        <v>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56">
        <f t="shared" si="1"/>
        <v>3</v>
      </c>
      <c r="C12" s="57" t="s">
        <v>63</v>
      </c>
      <c r="D12" s="59" t="s">
        <v>64</v>
      </c>
      <c r="E12" s="59" t="s">
        <v>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56">
        <f t="shared" si="1"/>
        <v>4</v>
      </c>
      <c r="C13" s="57" t="s">
        <v>66</v>
      </c>
      <c r="D13" s="59" t="s">
        <v>67</v>
      </c>
      <c r="E13" s="59" t="s">
        <v>68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56">
        <f t="shared" si="1"/>
        <v>5</v>
      </c>
      <c r="C14" s="60"/>
      <c r="D14" s="61"/>
      <c r="E14" s="6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56">
        <f t="shared" si="1"/>
        <v>6</v>
      </c>
      <c r="C15" s="60"/>
      <c r="D15" s="61"/>
      <c r="E15" s="6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56">
        <f t="shared" si="1"/>
        <v>7</v>
      </c>
      <c r="C16" s="60"/>
      <c r="D16" s="61"/>
      <c r="E16" s="6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56">
        <f t="shared" si="1"/>
        <v>8</v>
      </c>
      <c r="C17" s="60"/>
      <c r="D17" s="61"/>
      <c r="E17" s="6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56">
        <f t="shared" si="1"/>
        <v>9</v>
      </c>
      <c r="C18" s="60"/>
      <c r="D18" s="61"/>
      <c r="E18" s="6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56">
        <f t="shared" si="1"/>
        <v>10</v>
      </c>
      <c r="C19" s="60"/>
      <c r="D19" s="60"/>
      <c r="E19" s="6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56">
        <f t="shared" si="1"/>
        <v>11</v>
      </c>
      <c r="C20" s="60"/>
      <c r="D20" s="61"/>
      <c r="E20" s="6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56">
        <f t="shared" si="1"/>
        <v>12</v>
      </c>
      <c r="C21" s="60"/>
      <c r="D21" s="60"/>
      <c r="E21" s="6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56">
        <f t="shared" si="1"/>
        <v>13</v>
      </c>
      <c r="C22" s="60"/>
      <c r="D22" s="61"/>
      <c r="E22" s="6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56">
        <f t="shared" si="1"/>
        <v>14</v>
      </c>
      <c r="C23" s="60"/>
      <c r="D23" s="61"/>
      <c r="E23" s="6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56">
        <f t="shared" si="1"/>
        <v>15</v>
      </c>
      <c r="C24" s="60"/>
      <c r="D24" s="61"/>
      <c r="E24" s="6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56">
        <f t="shared" si="1"/>
        <v>16</v>
      </c>
      <c r="C25" s="60"/>
      <c r="D25" s="61"/>
      <c r="E25" s="6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56">
        <f t="shared" si="1"/>
        <v>17</v>
      </c>
      <c r="C26" s="60"/>
      <c r="D26" s="60"/>
      <c r="E26" s="6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56">
        <f t="shared" si="1"/>
        <v>18</v>
      </c>
      <c r="C27" s="60"/>
      <c r="D27" s="61"/>
      <c r="E27" s="6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56">
        <f t="shared" si="1"/>
        <v>19</v>
      </c>
      <c r="C28" s="60"/>
      <c r="D28" s="61"/>
      <c r="E28" s="6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56">
        <f t="shared" si="1"/>
        <v>20</v>
      </c>
      <c r="C29" s="60"/>
      <c r="D29" s="61"/>
      <c r="E29" s="6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56">
        <f t="shared" si="1"/>
        <v>21</v>
      </c>
      <c r="C30" s="60"/>
      <c r="D30" s="61"/>
      <c r="E30" s="6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49" t="s">
        <v>29</v>
      </c>
      <c r="D32" s="50"/>
      <c r="E32" s="43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F1DD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16.29"/>
    <col customWidth="1" min="4" max="4" width="18.0"/>
    <col customWidth="1" min="5" max="5" width="23.86"/>
    <col customWidth="1" min="6" max="6" width="16.57"/>
    <col customWidth="1" min="7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69</v>
      </c>
      <c r="F2" s="3"/>
      <c r="G2" s="3"/>
      <c r="H2" s="34"/>
      <c r="I2" s="34" t="s">
        <v>3</v>
      </c>
      <c r="J2" s="34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34" t="s">
        <v>5</v>
      </c>
      <c r="I3" s="35" t="s">
        <v>10</v>
      </c>
      <c r="J3" s="35">
        <v>236.0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52" t="s">
        <v>70</v>
      </c>
      <c r="D4" s="62" t="s">
        <v>71</v>
      </c>
      <c r="E4" s="6"/>
      <c r="F4" s="3"/>
      <c r="G4" s="3"/>
      <c r="H4" s="34" t="s">
        <v>9</v>
      </c>
      <c r="I4" s="35" t="s">
        <v>14</v>
      </c>
      <c r="J4" s="35">
        <v>236.0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9" t="s">
        <v>15</v>
      </c>
      <c r="D5" s="40" t="s">
        <v>10</v>
      </c>
      <c r="E5" s="6"/>
      <c r="F5" s="3"/>
      <c r="G5" s="3"/>
      <c r="H5" s="34" t="s">
        <v>13</v>
      </c>
      <c r="I5" s="35" t="s">
        <v>6</v>
      </c>
      <c r="J5" s="35">
        <v>236.0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7"/>
      <c r="C6" s="39" t="s">
        <v>35</v>
      </c>
      <c r="D6" s="41">
        <v>46093.0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42" t="s">
        <v>17</v>
      </c>
      <c r="C9" s="42" t="s">
        <v>72</v>
      </c>
      <c r="D9" s="42" t="s">
        <v>73</v>
      </c>
      <c r="E9" s="42" t="s">
        <v>74</v>
      </c>
      <c r="F9" s="42" t="s">
        <v>75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4">
        <v>1.0</v>
      </c>
      <c r="C10" s="43" t="s">
        <v>76</v>
      </c>
      <c r="D10" s="45" t="s">
        <v>77</v>
      </c>
      <c r="E10" s="45" t="s">
        <v>78</v>
      </c>
      <c r="F10" s="45" t="s">
        <v>78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4">
        <f t="shared" ref="B11:B30" si="1">B10+1</f>
        <v>2</v>
      </c>
      <c r="C11" s="43" t="s">
        <v>79</v>
      </c>
      <c r="D11" s="43" t="s">
        <v>80</v>
      </c>
      <c r="E11" s="45" t="s">
        <v>81</v>
      </c>
      <c r="F11" s="45" t="s">
        <v>82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4">
        <f t="shared" si="1"/>
        <v>3</v>
      </c>
      <c r="C12" s="43" t="s">
        <v>83</v>
      </c>
      <c r="D12" s="43" t="s">
        <v>84</v>
      </c>
      <c r="E12" s="45" t="s">
        <v>85</v>
      </c>
      <c r="F12" s="45" t="s">
        <v>86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4">
        <f t="shared" si="1"/>
        <v>4</v>
      </c>
      <c r="C13" s="43" t="s">
        <v>87</v>
      </c>
      <c r="D13" s="45" t="s">
        <v>88</v>
      </c>
      <c r="E13" s="45" t="s">
        <v>89</v>
      </c>
      <c r="F13" s="45" t="s">
        <v>90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4">
        <f t="shared" si="1"/>
        <v>5</v>
      </c>
      <c r="C14" s="43" t="s">
        <v>91</v>
      </c>
      <c r="D14" s="45" t="s">
        <v>88</v>
      </c>
      <c r="E14" s="45" t="s">
        <v>89</v>
      </c>
      <c r="F14" s="45" t="s">
        <v>90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4">
        <f t="shared" si="1"/>
        <v>6</v>
      </c>
      <c r="C15" s="43" t="s">
        <v>92</v>
      </c>
      <c r="D15" s="45" t="s">
        <v>93</v>
      </c>
      <c r="E15" s="45" t="s">
        <v>94</v>
      </c>
      <c r="F15" s="45" t="s">
        <v>95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4">
        <f t="shared" si="1"/>
        <v>7</v>
      </c>
      <c r="C16" s="47"/>
      <c r="D16" s="44"/>
      <c r="E16" s="44"/>
      <c r="F16" s="4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4">
        <f t="shared" si="1"/>
        <v>8</v>
      </c>
      <c r="C17" s="47"/>
      <c r="D17" s="44"/>
      <c r="E17" s="44"/>
      <c r="F17" s="4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4">
        <f t="shared" si="1"/>
        <v>9</v>
      </c>
      <c r="C18" s="47"/>
      <c r="D18" s="44"/>
      <c r="E18" s="44"/>
      <c r="F18" s="4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4">
        <f t="shared" si="1"/>
        <v>10</v>
      </c>
      <c r="C19" s="47"/>
      <c r="D19" s="47"/>
      <c r="E19" s="44"/>
      <c r="F19" s="4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4">
        <f t="shared" si="1"/>
        <v>11</v>
      </c>
      <c r="C20" s="47"/>
      <c r="D20" s="44"/>
      <c r="E20" s="44"/>
      <c r="F20" s="4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4">
        <f t="shared" si="1"/>
        <v>12</v>
      </c>
      <c r="C21" s="47"/>
      <c r="D21" s="47"/>
      <c r="E21" s="44"/>
      <c r="F21" s="4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4">
        <f t="shared" si="1"/>
        <v>13</v>
      </c>
      <c r="C22" s="47"/>
      <c r="D22" s="44"/>
      <c r="E22" s="44"/>
      <c r="F22" s="4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4">
        <f t="shared" si="1"/>
        <v>14</v>
      </c>
      <c r="C23" s="47"/>
      <c r="D23" s="44"/>
      <c r="E23" s="44"/>
      <c r="F23" s="4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4">
        <f t="shared" si="1"/>
        <v>15</v>
      </c>
      <c r="C24" s="47"/>
      <c r="D24" s="44"/>
      <c r="E24" s="44"/>
      <c r="F24" s="4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4">
        <f t="shared" si="1"/>
        <v>16</v>
      </c>
      <c r="C25" s="47"/>
      <c r="D25" s="44"/>
      <c r="E25" s="44"/>
      <c r="F25" s="4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4">
        <f t="shared" si="1"/>
        <v>17</v>
      </c>
      <c r="C26" s="47"/>
      <c r="D26" s="47"/>
      <c r="E26" s="44"/>
      <c r="F26" s="4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4">
        <f t="shared" si="1"/>
        <v>18</v>
      </c>
      <c r="C27" s="47"/>
      <c r="D27" s="44"/>
      <c r="E27" s="47"/>
      <c r="F27" s="4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4">
        <f t="shared" si="1"/>
        <v>19</v>
      </c>
      <c r="C28" s="47"/>
      <c r="D28" s="44"/>
      <c r="E28" s="44"/>
      <c r="F28" s="4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4">
        <f t="shared" si="1"/>
        <v>20</v>
      </c>
      <c r="C29" s="47"/>
      <c r="D29" s="44"/>
      <c r="E29" s="44"/>
      <c r="F29" s="4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4">
        <f t="shared" si="1"/>
        <v>21</v>
      </c>
      <c r="C30" s="47"/>
      <c r="D30" s="44"/>
      <c r="E30" s="44"/>
      <c r="F30" s="4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63" t="s">
        <v>96</v>
      </c>
      <c r="F32" s="6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C32:E32"/>
  </mergeCells>
  <printOptions/>
  <pageMargins bottom="0.75" footer="0.0" header="0.0" left="0.7" right="0.7" top="0.75"/>
  <pageSetup paperSize="9" orientation="portrait"/>
  <drawing r:id="rId1"/>
</worksheet>
</file>